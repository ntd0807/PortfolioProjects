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guyend\Downloads\FnO receipts\"/>
    </mc:Choice>
  </mc:AlternateContent>
  <xr:revisionPtr revIDLastSave="0" documentId="13_ncr:1_{5469F7C2-A660-4D62-B5CA-741E380E58FB}" xr6:coauthVersionLast="47" xr6:coauthVersionMax="47" xr10:uidLastSave="{00000000-0000-0000-0000-000000000000}"/>
  <bookViews>
    <workbookView xWindow="28680" yWindow="-120" windowWidth="29040" windowHeight="16440" activeTab="3" xr2:uid="{00000000-000D-0000-FFFF-FFFF00000000}"/>
  </bookViews>
  <sheets>
    <sheet name="bike_buyers" sheetId="1" r:id="rId1"/>
    <sheet name="WorkingSheet" sheetId="2" r:id="rId2"/>
    <sheet name="PivotTable" sheetId="3" r:id="rId3"/>
    <sheet name="Dashboard" sheetId="4" r:id="rId4"/>
  </sheets>
  <definedNames>
    <definedName name="_xlnm._FilterDatabase" localSheetId="0" hidden="1">bike_buyers!$A$1:$M$1027</definedName>
    <definedName name="_xlnm._FilterDatabase" localSheetId="1" hidden="1">WorkingSheet!$A$1:$N$1001</definedName>
    <definedName name="Slicer_Education">#N/A</definedName>
    <definedName name="Slicer_Marti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<sst xmlns="http://schemas.openxmlformats.org/spreadsheetml/2006/main" count="16267" uniqueCount="52">
  <si>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</si>
  <si>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</si>
  <si>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</si>
  <si>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</si>
  <si>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</si>
  <si>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</si>
  <si>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</si>
  <si>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</si>
  <si>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</si>
  <si>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</si>
  <si>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</si>
  <si>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</si>
  <si>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</si>
  <si>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</si>
  <si>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</si>
  <si>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</si>
  <si>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</si>
  <si>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</si>
  <si>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</si>
  <si>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</si>
  <si>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</si>
  <si>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</si>
  <si>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</si>
  <si>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</si>
  <si>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</si>
  <si>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</si>
  <si>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</si>
  <si>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</si>
  <si>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</si>
  <si>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</si>
  <si>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</si>
  <si>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</si>
  <si>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</si>
  <si>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</si>
  <si>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</si>
  <si>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</si>
  <si>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</si>
  <si>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</si>
  <si>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</si>
  <si>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</si>
  <si>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Martial Status</t>
  </si>
  <si>
    <t>Age Brackets</t>
  </si>
  <si>
    <t>Row Labels</t>
  </si>
  <si>
    <t>Grand Total</t>
  </si>
  <si>
    <t>Average of Income</t>
  </si>
  <si>
    <t>Column Labels</t>
  </si>
  <si>
    <t>Count of Purchased Bike</t>
  </si>
  <si>
    <t>More than 10 miles</t>
  </si>
  <si>
    <t>Middle Aged</t>
  </si>
  <si>
    <t>Old</t>
  </si>
  <si>
    <t>Yes Total</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</si>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</sst>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PivotTable!$A$5:$A$7</c:f>
              <c:strCache>
                <c:ptCount val="2"/>
                <c:pt idx="0">
                  <c:v>Female</c:v>
                </c:pt>
                <c:pt idx="1">
                  <c:v>Male</c:v>
                </c:pt>
              </c:strCache>
            </c:strRef>
          </c:cat>
          <c:val>
            <c:numRef>
              <c:f>PivotTable!$B$5:$B$7</c:f>
              <c:numCache>
                <c:formatCode>"$"#,##0</c:formatCode>
                <c:ptCount val="2"/>
                <c:pt idx="0">
                  <c:v>66666.666666666672</c:v>
                </c:pt>
                <c:pt idx="1">
                  <c:v>22500</c:v>
                </c:pt>
              </c:numCache>
            </c:numRef>
          </c:val>
          <c:extLst>
            <c:ext xmlns:c16="http://schemas.microsoft.com/office/drawing/2014/chart" uri="{C3380CC4-5D6E-409C-BE32-E72D297353CC}">
              <c16:uniqueId val="{00000000-4892-4DB2-9961-241D106CCCD5}"/>
            </c:ext>
          </c:extLst>
        </c:ser>
        <c:ser>
          <c:idx val="1"/>
          <c:order val="1"/>
          <c:tx>
            <c:strRef>
              <c:f>PivotTable!$C$3:$C$4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PivotTable!$A$5:$A$7</c:f>
              <c:strCache>
                <c:ptCount val="2"/>
                <c:pt idx="0">
                  <c:v>Female</c:v>
                </c:pt>
                <c:pt idx="1">
                  <c:v>Male</c:v>
                </c:pt>
              </c:strCache>
            </c:strRef>
          </c:cat>
          <c:val>
            <c:numRef>
              <c:f>PivotTable!$C$5:$C$7</c:f>
              <c:numCache>
                <c:formatCode>"$"#,##0</c:formatCode>
                <c:ptCount val="2"/>
                <c:pt idx="0">
                  <c:v>35000</c:v>
                </c:pt>
                <c:pt idx="1">
                  <c:v>33333.333333333336</c:v>
                </c:pt>
              </c:numCache>
            </c:numRef>
          </c:val>
          <c:extLst>
            <c:ext xmlns:c16="http://schemas.microsoft.com/office/drawing/2014/chart" uri="{C3380CC4-5D6E-409C-BE32-E72D297353CC}">
              <c16:uniqueId val="{00000001-4892-4DB2-9961-241D106CCCD5}"/>
            </c:ext>
          </c:extLst>
        </c:ser>
        <c:dLbls>
          <c:dLblPos val="outEnd"/>
          <c:showLegendKey val="0"/>
          <c:showVal val="1"/>
          <c:showCatName val="0"/>
          <c:showSerName val="0"/>
          <c:showPercent val="0"/>
          <c:showBubbleSize val="0"/>
        </c:dLbls>
        <c:gapWidth val="100"/>
        <c:overlap val="-24"/>
        <c:axId val="1845553392"/>
        <c:axId val="1845528912"/>
      </c:barChart>
      <c:catAx>
        <c:axId val="18455533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528912"/>
        <c:crosses val="autoZero"/>
        <c:auto val="1"/>
        <c:lblAlgn val="ctr"/>
        <c:lblOffset val="100"/>
        <c:noMultiLvlLbl val="0"/>
      </c:catAx>
      <c:valAx>
        <c:axId val="18455289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55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PivotTable!$B$19:$B$20</c:f>
              <c:strCache>
                <c:ptCount val="1"/>
                <c:pt idx="0">
                  <c:v>No</c:v>
                </c:pt>
              </c:strCache>
            </c:strRef>
          </c:tx>
          <c:spPr>
            <a:ln w="28575" cap="rnd">
              <a:solidFill>
                <a:schemeClr val="accent1"/>
              </a:solidFill>
              <a:round/>
            </a:ln>
            <a:effectLst/>
          </c:spPr>
          <c:marker>
            <c:symbol val="none"/>
          </c:marker>
          <c:cat>
            <c:strRef>
              <c:f>PivotTable!$A$21:$A$25</c:f>
              <c:strCache>
                <c:ptCount val="4"/>
                <c:pt idx="0">
                  <c:v>0-1 Miles</c:v>
                </c:pt>
                <c:pt idx="1">
                  <c:v>1-2 Miles</c:v>
                </c:pt>
                <c:pt idx="2">
                  <c:v>2-5 Miles</c:v>
                </c:pt>
                <c:pt idx="3">
                  <c:v>More than 10 miles</c:v>
                </c:pt>
              </c:strCache>
            </c:strRef>
          </c:cat>
          <c:val>
            <c:numRef>
              <c:f>PivotTable!$B$21:$B$25</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5EC8-4F63-AA8E-4FD795185700}"/>
            </c:ext>
          </c:extLst>
        </c:ser>
        <c:ser>
          <c:idx val="1"/>
          <c:order val="1"/>
          <c:tx>
            <c:strRef>
              <c:f>PivotTable!$C$19:$C$20</c:f>
              <c:strCache>
                <c:ptCount val="1"/>
                <c:pt idx="0">
                  <c:v>Yes</c:v>
                </c:pt>
              </c:strCache>
            </c:strRef>
          </c:tx>
          <c:spPr>
            <a:ln w="28575" cap="rnd">
              <a:solidFill>
                <a:schemeClr val="accent2"/>
              </a:solidFill>
              <a:round/>
            </a:ln>
            <a:effectLst/>
          </c:spPr>
          <c:marker>
            <c:symbol val="none"/>
          </c:marker>
          <c:cat>
            <c:strRef>
              <c:f>PivotTable!$A$21:$A$25</c:f>
              <c:strCache>
                <c:ptCount val="4"/>
                <c:pt idx="0">
                  <c:v>0-1 Miles</c:v>
                </c:pt>
                <c:pt idx="1">
                  <c:v>1-2 Miles</c:v>
                </c:pt>
                <c:pt idx="2">
                  <c:v>2-5 Miles</c:v>
                </c:pt>
                <c:pt idx="3">
                  <c:v>More than 10 miles</c:v>
                </c:pt>
              </c:strCache>
            </c:strRef>
          </c:cat>
          <c:val>
            <c:numRef>
              <c:f>PivotTable!$C$21:$C$25</c:f>
              <c:numCache>
                <c:formatCode>General</c:formatCode>
                <c:ptCount val="4"/>
                <c:pt idx="0">
                  <c:v>11</c:v>
                </c:pt>
                <c:pt idx="1">
                  <c:v>2</c:v>
                </c:pt>
              </c:numCache>
            </c:numRef>
          </c:val>
          <c:smooth val="0"/>
          <c:extLst>
            <c:ext xmlns:c16="http://schemas.microsoft.com/office/drawing/2014/chart" uri="{C3380CC4-5D6E-409C-BE32-E72D297353CC}">
              <c16:uniqueId val="{00000001-5EC8-4F63-AA8E-4FD795185700}"/>
            </c:ext>
          </c:extLst>
        </c:ser>
        <c:dLbls>
          <c:showLegendKey val="0"/>
          <c:showVal val="0"/>
          <c:showCatName val="0"/>
          <c:showSerName val="0"/>
          <c:showPercent val="0"/>
          <c:showBubbleSize val="0"/>
        </c:dLbls>
        <c:smooth val="0"/>
        <c:axId val="2129471056"/>
        <c:axId val="2129453296"/>
      </c:lineChart>
      <c:catAx>
        <c:axId val="212947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453296"/>
        <c:crosses val="autoZero"/>
        <c:auto val="1"/>
        <c:lblAlgn val="ctr"/>
        <c:lblOffset val="100"/>
        <c:noMultiLvlLbl val="0"/>
      </c:catAx>
      <c:valAx>
        <c:axId val="212945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47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PivotTable!$B$36:$B$38</c:f>
              <c:strCache>
                <c:ptCount val="1"/>
                <c:pt idx="0">
                  <c:v>Yes - 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PivotTable!$A$39:$A$41</c:f>
              <c:strCache>
                <c:ptCount val="2"/>
                <c:pt idx="0">
                  <c:v>Middle Aged</c:v>
                </c:pt>
                <c:pt idx="1">
                  <c:v>Old</c:v>
                </c:pt>
              </c:strCache>
            </c:strRef>
          </c:cat>
          <c:val>
            <c:numRef>
              <c:f>PivotTable!$B$39:$B$41</c:f>
              <c:numCache>
                <c:formatCode>General</c:formatCode>
                <c:ptCount val="2"/>
                <c:pt idx="0">
                  <c:v>4</c:v>
                </c:pt>
              </c:numCache>
            </c:numRef>
          </c:val>
          <c:smooth val="0"/>
          <c:extLst>
            <c:ext xmlns:c16="http://schemas.microsoft.com/office/drawing/2014/chart" uri="{C3380CC4-5D6E-409C-BE32-E72D297353CC}">
              <c16:uniqueId val="{00000000-C707-48B8-A0AC-DC6C0E262B45}"/>
            </c:ext>
          </c:extLst>
        </c:ser>
        <c:ser>
          <c:idx val="1"/>
          <c:order val="1"/>
          <c:tx>
            <c:strRef>
              <c:f>PivotTable!$C$36:$C$38</c:f>
              <c:strCache>
                <c:ptCount val="1"/>
                <c:pt idx="0">
                  <c:v>Yes - 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PivotTable!$A$39:$A$41</c:f>
              <c:strCache>
                <c:ptCount val="2"/>
                <c:pt idx="0">
                  <c:v>Middle Aged</c:v>
                </c:pt>
                <c:pt idx="1">
                  <c:v>Old</c:v>
                </c:pt>
              </c:strCache>
            </c:strRef>
          </c:cat>
          <c:val>
            <c:numRef>
              <c:f>PivotTable!$C$39:$C$41</c:f>
              <c:numCache>
                <c:formatCode>General</c:formatCode>
                <c:ptCount val="2"/>
                <c:pt idx="0">
                  <c:v>8</c:v>
                </c:pt>
                <c:pt idx="1">
                  <c:v>1</c:v>
                </c:pt>
              </c:numCache>
            </c:numRef>
          </c:val>
          <c:smooth val="0"/>
          <c:extLst>
            <c:ext xmlns:c16="http://schemas.microsoft.com/office/drawing/2014/chart" uri="{C3380CC4-5D6E-409C-BE32-E72D297353CC}">
              <c16:uniqueId val="{00000001-A6D3-47E5-BEA6-BE202FC001A2}"/>
            </c:ext>
          </c:extLst>
        </c:ser>
        <c:dLbls>
          <c:showLegendKey val="0"/>
          <c:showVal val="0"/>
          <c:showCatName val="0"/>
          <c:showSerName val="0"/>
          <c:showPercent val="0"/>
          <c:showBubbleSize val="0"/>
        </c:dLbls>
        <c:marker val="1"/>
        <c:smooth val="0"/>
        <c:axId val="2129478256"/>
        <c:axId val="2129481616"/>
      </c:lineChart>
      <c:catAx>
        <c:axId val="212947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481616"/>
        <c:crosses val="autoZero"/>
        <c:auto val="1"/>
        <c:lblAlgn val="ctr"/>
        <c:lblOffset val="100"/>
        <c:noMultiLvlLbl val="0"/>
      </c:catAx>
      <c:valAx>
        <c:axId val="212948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47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PivotTable!$A$5:$A$7</c:f>
              <c:strCache>
                <c:ptCount val="2"/>
                <c:pt idx="0">
                  <c:v>Female</c:v>
                </c:pt>
                <c:pt idx="1">
                  <c:v>Male</c:v>
                </c:pt>
              </c:strCache>
            </c:strRef>
          </c:cat>
          <c:val>
            <c:numRef>
              <c:f>PivotTable!$B$5:$B$7</c:f>
              <c:numCache>
                <c:formatCode>"$"#,##0</c:formatCode>
                <c:ptCount val="2"/>
                <c:pt idx="0">
                  <c:v>66666.666666666672</c:v>
                </c:pt>
                <c:pt idx="1">
                  <c:v>22500</c:v>
                </c:pt>
              </c:numCache>
            </c:numRef>
          </c:val>
          <c:extLst>
            <c:ext xmlns:c16="http://schemas.microsoft.com/office/drawing/2014/chart" uri="{C3380CC4-5D6E-409C-BE32-E72D297353CC}">
              <c16:uniqueId val="{00000000-9118-498F-AE85-09B1BFFD4472}"/>
            </c:ext>
          </c:extLst>
        </c:ser>
        <c:ser>
          <c:idx val="1"/>
          <c:order val="1"/>
          <c:tx>
            <c:strRef>
              <c:f>PivotTable!$C$3:$C$4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PivotTable!$A$5:$A$7</c:f>
              <c:strCache>
                <c:ptCount val="2"/>
                <c:pt idx="0">
                  <c:v>Female</c:v>
                </c:pt>
                <c:pt idx="1">
                  <c:v>Male</c:v>
                </c:pt>
              </c:strCache>
            </c:strRef>
          </c:cat>
          <c:val>
            <c:numRef>
              <c:f>PivotTable!$C$5:$C$7</c:f>
              <c:numCache>
                <c:formatCode>"$"#,##0</c:formatCode>
                <c:ptCount val="2"/>
                <c:pt idx="0">
                  <c:v>35000</c:v>
                </c:pt>
                <c:pt idx="1">
                  <c:v>33333.333333333336</c:v>
                </c:pt>
              </c:numCache>
            </c:numRef>
          </c:val>
          <c:extLst>
            <c:ext xmlns:c16="http://schemas.microsoft.com/office/drawing/2014/chart" uri="{C3380CC4-5D6E-409C-BE32-E72D297353CC}">
              <c16:uniqueId val="{00000001-9118-498F-AE85-09B1BFFD4472}"/>
            </c:ext>
          </c:extLst>
        </c:ser>
        <c:dLbls>
          <c:dLblPos val="outEnd"/>
          <c:showLegendKey val="0"/>
          <c:showVal val="1"/>
          <c:showCatName val="0"/>
          <c:showSerName val="0"/>
          <c:showPercent val="0"/>
          <c:showBubbleSize val="0"/>
        </c:dLbls>
        <c:gapWidth val="100"/>
        <c:overlap val="-24"/>
        <c:axId val="1845553392"/>
        <c:axId val="1845528912"/>
      </c:barChart>
      <c:catAx>
        <c:axId val="18455533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528912"/>
        <c:crosses val="autoZero"/>
        <c:auto val="1"/>
        <c:lblAlgn val="ctr"/>
        <c:lblOffset val="100"/>
        <c:noMultiLvlLbl val="0"/>
      </c:catAx>
      <c:valAx>
        <c:axId val="18455289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55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PivotTable!$B$19:$B$20</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PivotTable!$A$21:$A$25</c:f>
              <c:strCache>
                <c:ptCount val="4"/>
                <c:pt idx="0">
                  <c:v>0-1 Miles</c:v>
                </c:pt>
                <c:pt idx="1">
                  <c:v>1-2 Miles</c:v>
                </c:pt>
                <c:pt idx="2">
                  <c:v>2-5 Miles</c:v>
                </c:pt>
                <c:pt idx="3">
                  <c:v>More than 10 miles</c:v>
                </c:pt>
              </c:strCache>
            </c:strRef>
          </c:cat>
          <c:val>
            <c:numRef>
              <c:f>PivotTable!$B$21:$B$25</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68DF-429C-AB14-08C1FEE486B7}"/>
            </c:ext>
          </c:extLst>
        </c:ser>
        <c:ser>
          <c:idx val="1"/>
          <c:order val="1"/>
          <c:tx>
            <c:strRef>
              <c:f>PivotTable!$C$19:$C$20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PivotTable!$A$21:$A$25</c:f>
              <c:strCache>
                <c:ptCount val="4"/>
                <c:pt idx="0">
                  <c:v>0-1 Miles</c:v>
                </c:pt>
                <c:pt idx="1">
                  <c:v>1-2 Miles</c:v>
                </c:pt>
                <c:pt idx="2">
                  <c:v>2-5 Miles</c:v>
                </c:pt>
                <c:pt idx="3">
                  <c:v>More than 10 miles</c:v>
                </c:pt>
              </c:strCache>
            </c:strRef>
          </c:cat>
          <c:val>
            <c:numRef>
              <c:f>PivotTable!$C$21:$C$25</c:f>
              <c:numCache>
                <c:formatCode>General</c:formatCode>
                <c:ptCount val="4"/>
                <c:pt idx="0">
                  <c:v>11</c:v>
                </c:pt>
                <c:pt idx="1">
                  <c:v>2</c:v>
                </c:pt>
              </c:numCache>
            </c:numRef>
          </c:val>
          <c:smooth val="0"/>
          <c:extLst>
            <c:ext xmlns:c16="http://schemas.microsoft.com/office/drawing/2014/chart" uri="{C3380CC4-5D6E-409C-BE32-E72D297353CC}">
              <c16:uniqueId val="{00000001-68DF-429C-AB14-08C1FEE486B7}"/>
            </c:ext>
          </c:extLst>
        </c:ser>
        <c:dLbls>
          <c:showLegendKey val="0"/>
          <c:showVal val="0"/>
          <c:showCatName val="0"/>
          <c:showSerName val="0"/>
          <c:showPercent val="0"/>
          <c:showBubbleSize val="0"/>
        </c:dLbls>
        <c:marker val="1"/>
        <c:smooth val="0"/>
        <c:axId val="2129471056"/>
        <c:axId val="2129453296"/>
      </c:lineChart>
      <c:catAx>
        <c:axId val="21294710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9453296"/>
        <c:crosses val="autoZero"/>
        <c:auto val="1"/>
        <c:lblAlgn val="ctr"/>
        <c:lblOffset val="100"/>
        <c:noMultiLvlLbl val="0"/>
      </c:catAx>
      <c:valAx>
        <c:axId val="2129453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947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PivotTable!$B$36:$B$38</c:f>
              <c:strCache>
                <c:ptCount val="1"/>
                <c:pt idx="0">
                  <c:v>Yes - 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PivotTable!$A$39:$A$41</c:f>
              <c:strCache>
                <c:ptCount val="2"/>
                <c:pt idx="0">
                  <c:v>Middle Aged</c:v>
                </c:pt>
                <c:pt idx="1">
                  <c:v>Old</c:v>
                </c:pt>
              </c:strCache>
            </c:strRef>
          </c:cat>
          <c:val>
            <c:numRef>
              <c:f>PivotTable!$B$39:$B$41</c:f>
              <c:numCache>
                <c:formatCode>General</c:formatCode>
                <c:ptCount val="2"/>
                <c:pt idx="0">
                  <c:v>4</c:v>
                </c:pt>
              </c:numCache>
            </c:numRef>
          </c:val>
          <c:smooth val="0"/>
          <c:extLst>
            <c:ext xmlns:c16="http://schemas.microsoft.com/office/drawing/2014/chart" uri="{C3380CC4-5D6E-409C-BE32-E72D297353CC}">
              <c16:uniqueId val="{00000000-6FE6-4C74-940B-A3CF67F6014D}"/>
            </c:ext>
          </c:extLst>
        </c:ser>
        <c:ser>
          <c:idx val="1"/>
          <c:order val="1"/>
          <c:tx>
            <c:strRef>
              <c:f>PivotTable!$C$36:$C$38</c:f>
              <c:strCache>
                <c:ptCount val="1"/>
                <c:pt idx="0">
                  <c:v>Yes - 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PivotTable!$A$39:$A$41</c:f>
              <c:strCache>
                <c:ptCount val="2"/>
                <c:pt idx="0">
                  <c:v>Middle Aged</c:v>
                </c:pt>
                <c:pt idx="1">
                  <c:v>Old</c:v>
                </c:pt>
              </c:strCache>
            </c:strRef>
          </c:cat>
          <c:val>
            <c:numRef>
              <c:f>PivotTable!$C$39:$C$41</c:f>
              <c:numCache>
                <c:formatCode>General</c:formatCode>
                <c:ptCount val="2"/>
                <c:pt idx="0">
                  <c:v>8</c:v>
                </c:pt>
                <c:pt idx="1">
                  <c:v>1</c:v>
                </c:pt>
              </c:numCache>
            </c:numRef>
          </c:val>
          <c:smooth val="0"/>
          <c:extLst>
            <c:ext xmlns:c16="http://schemas.microsoft.com/office/drawing/2014/chart" uri="{C3380CC4-5D6E-409C-BE32-E72D297353CC}">
              <c16:uniqueId val="{00000001-6FE6-4C74-940B-A3CF67F6014D}"/>
            </c:ext>
          </c:extLst>
        </c:ser>
        <c:dLbls>
          <c:dLblPos val="ctr"/>
          <c:showLegendKey val="0"/>
          <c:showVal val="0"/>
          <c:showCatName val="0"/>
          <c:showSerName val="0"/>
          <c:showPercent val="0"/>
          <c:showBubbleSize val="0"/>
        </c:dLbls>
        <c:marker val="1"/>
        <c:smooth val="0"/>
        <c:axId val="2129478256"/>
        <c:axId val="2129481616"/>
      </c:lineChart>
      <c:catAx>
        <c:axId val="21294782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Brackets</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9481616"/>
        <c:crosses val="autoZero"/>
        <c:auto val="1"/>
        <c:lblAlgn val="ctr"/>
        <c:lblOffset val="100"/>
        <c:noMultiLvlLbl val="0"/>
      </c:catAx>
      <c:valAx>
        <c:axId val="21294816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947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14287</xdr:colOff>
      <xdr:row>0</xdr:row>
      <xdr:rowOff>9525</xdr:rowOff>
    </xdr:from>
    <xdr:to>
      <xdr:col>13</xdr:col>
      <xdr:colOff>600075</xdr:colOff>
      <xdr:row>15</xdr:row>
      <xdr:rowOff>9525</xdr:rowOff>
    </xdr:to>
    <xdr:graphicFrame macro="">
      <xdr:nvGraphicFramePr>
        <xdr:cNvPr id="2" name="Chart 1">
          <a:extLst>
            <a:ext uri="{FF2B5EF4-FFF2-40B4-BE49-F238E27FC236}">
              <a16:creationId xmlns:a16="http://schemas.microsoft.com/office/drawing/2014/main" id="{AFB45311-A3F2-7A9B-0F2F-9F73F39F0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4761</xdr:colOff>
      <xdr:row>18</xdr:row>
      <xdr:rowOff>190499</xdr:rowOff>
    </xdr:from>
    <xdr:to>
      <xdr:col>12</xdr:col>
      <xdr:colOff>609599</xdr:colOff>
      <xdr:row>34</xdr:row>
      <xdr:rowOff>9524</xdr:rowOff>
    </xdr:to>
    <xdr:graphicFrame macro="">
      <xdr:nvGraphicFramePr>
        <xdr:cNvPr id="3" name="Chart 2">
          <a:extLst>
            <a:ext uri="{FF2B5EF4-FFF2-40B4-BE49-F238E27FC236}">
              <a16:creationId xmlns:a16="http://schemas.microsoft.com/office/drawing/2014/main" id="{560D2053-BDA8-42E3-01D8-8F1F56C33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14287</xdr:colOff>
      <xdr:row>34</xdr:row>
      <xdr:rowOff>180975</xdr:rowOff>
    </xdr:from>
    <xdr:to>
      <xdr:col>13</xdr:col>
      <xdr:colOff>33337</xdr:colOff>
      <xdr:row>49</xdr:row>
      <xdr:rowOff>66675</xdr:rowOff>
    </xdr:to>
    <xdr:graphicFrame macro="">
      <xdr:nvGraphicFramePr>
        <xdr:cNvPr id="4" name="Chart 3">
          <a:extLst>
            <a:ext uri="{FF2B5EF4-FFF2-40B4-BE49-F238E27FC236}">
              <a16:creationId xmlns:a16="http://schemas.microsoft.com/office/drawing/2014/main" id="{CCAFE84D-0A95-2123-8B22-47F0C5977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238125</xdr:colOff>
      <xdr:row>6</xdr:row>
      <xdr:rowOff>9524</xdr:rowOff>
    </xdr:from>
    <xdr:to>
      <xdr:col>9</xdr:col>
      <xdr:colOff>539220</xdr:colOff>
      <xdr:row>21</xdr:row>
      <xdr:rowOff>20307</xdr:rowOff>
    </xdr:to>
    <xdr:graphicFrame macro="">
      <xdr:nvGraphicFramePr>
        <xdr:cNvPr id="2" name="Chart 1">
          <a:extLst>
            <a:ext uri="{FF2B5EF4-FFF2-40B4-BE49-F238E27FC236}">
              <a16:creationId xmlns:a16="http://schemas.microsoft.com/office/drawing/2014/main" id="{E38D5B01-D7D1-421A-93DB-681E8B44B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21</xdr:row>
      <xdr:rowOff>0</xdr:rowOff>
    </xdr:from>
    <xdr:to>
      <xdr:col>15</xdr:col>
      <xdr:colOff>19050</xdr:colOff>
      <xdr:row>36</xdr:row>
      <xdr:rowOff>9525</xdr:rowOff>
    </xdr:to>
    <xdr:graphicFrame macro="">
      <xdr:nvGraphicFramePr>
        <xdr:cNvPr id="3" name="Chart 2">
          <a:extLst>
            <a:ext uri="{FF2B5EF4-FFF2-40B4-BE49-F238E27FC236}">
              <a16:creationId xmlns:a16="http://schemas.microsoft.com/office/drawing/2014/main" id="{B2527A9C-56B3-48EC-826F-5C4A4DFBD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523875</xdr:colOff>
      <xdr:row>6</xdr:row>
      <xdr:rowOff>9525</xdr:rowOff>
    </xdr:from>
    <xdr:to>
      <xdr:col>15</xdr:col>
      <xdr:colOff>9525</xdr:colOff>
      <xdr:row>21</xdr:row>
      <xdr:rowOff>9525</xdr:rowOff>
    </xdr:to>
    <xdr:graphicFrame macro="">
      <xdr:nvGraphicFramePr>
        <xdr:cNvPr id="4" name="Chart 3">
          <a:extLst>
            <a:ext uri="{FF2B5EF4-FFF2-40B4-BE49-F238E27FC236}">
              <a16:creationId xmlns:a16="http://schemas.microsoft.com/office/drawing/2014/main" id="{BE4B22CA-8FC9-4D34-94CF-E1F093414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9525</xdr:rowOff>
    </xdr:from>
    <xdr:to>
      <xdr:col>2</xdr:col>
      <xdr:colOff>238125</xdr:colOff>
      <xdr:row>11</xdr:row>
      <xdr:rowOff>9525</xdr:rowOff>
    </xdr:to>
    <mc:AlternateContent xmlns:mc="http://schemas.openxmlformats.org/markup-compatibility/2006">
      <mc:Choice xmlns:a14="http://schemas.microsoft.com/office/drawing/2010/main" Requires="a14">
        <xdr:graphicFrame macro="">
          <xdr:nvGraphicFramePr>
            <xdr:cNvPr id="5" name="Martial Status">
              <a:extLst>
                <a:ext uri="{FF2B5EF4-FFF2-40B4-BE49-F238E27FC236}">
                  <a16:creationId xmlns:a16="http://schemas.microsoft.com/office/drawing/2014/main" id="{D9F760DA-9D6B-E543-743B-30D5611F354E}"/>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0" y="1152525"/>
              <a:ext cx="145732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142875</xdr:rowOff>
    </xdr:from>
    <xdr:to>
      <xdr:col>2</xdr:col>
      <xdr:colOff>219075</xdr:colOff>
      <xdr:row>27</xdr:row>
      <xdr:rowOff>19050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8FF4E2A3-0352-6344-96BD-4A850F6BD6C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81375"/>
              <a:ext cx="1438275"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0</xdr:rowOff>
    </xdr:from>
    <xdr:to>
      <xdr:col>2</xdr:col>
      <xdr:colOff>238124</xdr:colOff>
      <xdr:row>17</xdr:row>
      <xdr:rowOff>142875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27AAC6CD-FC53-4500-F3FE-5B310C98F8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95500"/>
              <a:ext cx="1457324"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Dan" refreshedDate="46034.897585995372" createdVersion="8" refreshedVersion="8" minRefreshableVersion="3" recordCount="1000" xr:uid="{9A9CC438-BA1C-4D41-A7D5-E11925163545}">
  <cacheSource type="worksheet">
    <worksheetSource ref="A1:N1001" sheet="Working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8">
        <s v="0-1 Miles"/>
        <s v="2-5 Miles"/>
        <s v="5-10 Miles"/>
        <s v="1-2 Miles"/>
        <s v="More than 10 miles"/>
        <s v="10 + Miles" u="1"/>
        <s v="&gt; 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e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11382182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F38FBD-D7D6-4B30-B1DD-6FCFACE5CD8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D2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sortType="ascending">
      <items count="9">
        <item m="1" x="6"/>
        <item x="0"/>
        <item m="1" x="5"/>
        <item m="1" x="7"/>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v="1"/>
    </i>
    <i>
      <x v="4"/>
    </i>
    <i>
      <x v="5"/>
    </i>
    <i>
      <x v="7"/>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0"/>
          </reference>
        </references>
      </pivotArea>
    </chartFormat>
    <chartFormat chart="8"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454712-644C-4B7C-B293-4DE15EF9E0F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43AA07-FF54-4500-B3BC-D4B14D64FAD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6:E41" firstHeaderRow="1" firstDataRow="3" firstDataCol="1"/>
  <pivotFields count="14">
    <pivotField showAll="0"/>
    <pivotField showAll="0">
      <items count="3">
        <item h="1" x="0"/>
        <item x="1"/>
        <item t="default"/>
      </items>
    </pivotField>
    <pivotField axis="axisCol" showAll="0">
      <items count="3">
        <item x="0"/>
        <item x="1"/>
        <item t="default"/>
      </items>
    </pivotField>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h="1" x="0"/>
        <item x="1"/>
        <item t="default"/>
      </items>
    </pivotField>
  </pivotFields>
  <rowFields count="1">
    <field x="12"/>
  </rowFields>
  <rowItems count="3">
    <i>
      <x v="1"/>
    </i>
    <i>
      <x v="2"/>
    </i>
    <i t="grand">
      <x/>
    </i>
  </rowItems>
  <colFields count="2">
    <field x="13"/>
    <field x="2"/>
  </colFields>
  <colItems count="4">
    <i>
      <x v="1"/>
      <x/>
    </i>
    <i r="1">
      <x v="1"/>
    </i>
    <i t="default">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3">
          <reference field="4294967294" count="1" selected="0">
            <x v="0"/>
          </reference>
          <reference field="2" count="1" selected="0">
            <x v="0"/>
          </reference>
          <reference field="13" count="1" selected="0">
            <x v="1"/>
          </reference>
        </references>
      </pivotArea>
    </chartFormat>
    <chartFormat chart="0" format="3" series="1">
      <pivotArea type="data" outline="0" fieldPosition="0">
        <references count="3">
          <reference field="4294967294" count="1" selected="0">
            <x v="0"/>
          </reference>
          <reference field="2" count="1" selected="0">
            <x v="1"/>
          </reference>
          <reference field="13" count="1" selected="0">
            <x v="1"/>
          </reference>
        </references>
      </pivotArea>
    </chartFormat>
    <chartFormat chart="3" format="6" series="1">
      <pivotArea type="data" outline="0" fieldPosition="0">
        <references count="3">
          <reference field="4294967294" count="1" selected="0">
            <x v="0"/>
          </reference>
          <reference field="2" count="1" selected="0">
            <x v="0"/>
          </reference>
          <reference field="13" count="1" selected="0">
            <x v="1"/>
          </reference>
        </references>
      </pivotArea>
    </chartFormat>
    <chartFormat chart="3" format="7" series="1">
      <pivotArea type="data" outline="0" fieldPosition="0">
        <references count="3">
          <reference field="4294967294" count="1" selected="0">
            <x v="0"/>
          </reference>
          <reference field="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5AB09085-531E-4C3B-BEC8-582E8F0B736F}" sourceName="Martial Status">
  <pivotTables>
    <pivotTable tabId="3" name="PivotTable1"/>
    <pivotTable tabId="3" name="PivotTable2"/>
    <pivotTable tabId="3" name="PivotTable3"/>
  </pivotTables>
  <data>
    <tabular pivotCacheId="113821825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D431FB8-C1A1-4FF9-BD04-EE797273B53B}" sourceName="Education">
  <pivotTables>
    <pivotTable tabId="3" name="PivotTable1"/>
    <pivotTable tabId="3" name="PivotTable2"/>
    <pivotTable tabId="3" name="PivotTable3"/>
  </pivotTables>
  <data>
    <tabular pivotCacheId="113821825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11AE3D-572E-4B1C-9040-34528A96E498}" sourceName="Region">
  <pivotTables>
    <pivotTable tabId="3" name="PivotTable1"/>
    <pivotTable tabId="3" name="PivotTable2"/>
    <pivotTable tabId="3" name="PivotTable3"/>
  </pivotTables>
  <data>
    <tabular pivotCacheId="113821825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1C380268-7C5A-4EFE-85DB-34C0115D0F00}" cache="Slicer_Martial_Status" caption="Martial Status" rowHeight="241300"/>
  <slicer name="Education" xr10:uid="{7634BF48-EEFB-42B5-9F7C-DDF8EADD55BF}" cache="Slicer_Education" caption="Education" rowHeight="241300"/>
  <slicer name="Region" xr10:uid="{B6C97E7C-DCCF-4F7D-B9CC-08706BD2826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x14ac:dyDescent="0.25"/>
  <cols>
    <col min="1" max="1" width="6" bestFit="1" customWidth="1"/>
    <col min="2" max="2" width="15.5703125" bestFit="1" customWidth="1"/>
    <col min="3" max="3" width="9.85546875" bestFit="1" customWidth="1"/>
    <col min="4" max="4" width="11.14062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6.8554687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B1224-DEA3-4DF7-9946-BEF7B17857AE}">
  <dimension ref="A1:N1001"/>
  <sheetViews>
    <sheetView workbookViewId="0">
      <selection activeCell="M2" sqref="M2"/>
    </sheetView>
  </sheetViews>
  <sheetFormatPr defaultRowHeight="15" x14ac:dyDescent="0.25"/>
  <cols>
    <col min="1" max="1" width="6" bestFit="1" customWidth="1"/>
    <col min="2" max="2" width="30.28515625" bestFit="1" customWidth="1"/>
    <col min="3" max="3" width="9.85546875" bestFit="1" customWidth="1"/>
    <col min="4" max="4" width="9.8554687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40</v>
      </c>
      <c r="C1" t="s">
        <v>2</v>
      </c>
      <c r="D1" s="3" t="s">
        <v>3</v>
      </c>
      <c r="E1" t="s">
        <v>4</v>
      </c>
      <c r="F1" t="s">
        <v>5</v>
      </c>
      <c r="G1" t="s">
        <v>6</v>
      </c>
      <c r="H1" t="s">
        <v>7</v>
      </c>
      <c r="I1" t="s">
        <v>8</v>
      </c>
      <c r="J1" t="s">
        <v>9</v>
      </c>
      <c r="K1" t="s">
        <v>10</v>
      </c>
      <c r="L1" t="s">
        <v>11</v>
      </c>
      <c r="M1" t="s">
        <v>41</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Aged",IF(L2&lt;31,"Adolescence","Invalid")))</f>
        <v>Middle Aged</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Aged",IF(L3&lt;31,"Adolescence","Invalid")))</f>
        <v>Middle Aged</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Aged</v>
      </c>
      <c r="N5" t="s">
        <v>15</v>
      </c>
    </row>
    <row r="6" spans="1:14" x14ac:dyDescent="0.25">
      <c r="A6">
        <v>25597</v>
      </c>
      <c r="B6" t="s">
        <v>37</v>
      </c>
      <c r="C6" t="s">
        <v>39</v>
      </c>
      <c r="D6" s="3">
        <v>30000</v>
      </c>
      <c r="E6">
        <v>0</v>
      </c>
      <c r="F6" t="s">
        <v>13</v>
      </c>
      <c r="G6" t="s">
        <v>20</v>
      </c>
      <c r="H6" t="s">
        <v>18</v>
      </c>
      <c r="I6">
        <v>0</v>
      </c>
      <c r="J6" t="s">
        <v>16</v>
      </c>
      <c r="K6" t="s">
        <v>17</v>
      </c>
      <c r="L6">
        <v>36</v>
      </c>
      <c r="M6" t="str">
        <f t="shared" si="0"/>
        <v>Middle Aged</v>
      </c>
      <c r="N6" t="s">
        <v>15</v>
      </c>
    </row>
    <row r="7" spans="1:14" x14ac:dyDescent="0.25">
      <c r="A7">
        <v>13507</v>
      </c>
      <c r="B7" t="s">
        <v>36</v>
      </c>
      <c r="C7" t="s">
        <v>38</v>
      </c>
      <c r="D7" s="3">
        <v>10000</v>
      </c>
      <c r="E7">
        <v>2</v>
      </c>
      <c r="F7" t="s">
        <v>19</v>
      </c>
      <c r="G7" t="s">
        <v>25</v>
      </c>
      <c r="H7" t="s">
        <v>15</v>
      </c>
      <c r="I7">
        <v>0</v>
      </c>
      <c r="J7" t="s">
        <v>26</v>
      </c>
      <c r="K7" t="s">
        <v>17</v>
      </c>
      <c r="L7">
        <v>50</v>
      </c>
      <c r="M7" t="str">
        <f t="shared" si="0"/>
        <v>Middle Aged</v>
      </c>
      <c r="N7" t="s">
        <v>18</v>
      </c>
    </row>
    <row r="8" spans="1:14" x14ac:dyDescent="0.25">
      <c r="A8">
        <v>27974</v>
      </c>
      <c r="B8" t="s">
        <v>37</v>
      </c>
      <c r="C8" t="s">
        <v>39</v>
      </c>
      <c r="D8" s="3">
        <v>160000</v>
      </c>
      <c r="E8">
        <v>2</v>
      </c>
      <c r="F8" t="s">
        <v>27</v>
      </c>
      <c r="G8" t="s">
        <v>28</v>
      </c>
      <c r="H8" t="s">
        <v>15</v>
      </c>
      <c r="I8">
        <v>4</v>
      </c>
      <c r="J8" t="s">
        <v>16</v>
      </c>
      <c r="K8" t="s">
        <v>24</v>
      </c>
      <c r="L8">
        <v>33</v>
      </c>
      <c r="M8" t="str">
        <f t="shared" si="0"/>
        <v>Middle Aged</v>
      </c>
      <c r="N8" t="s">
        <v>15</v>
      </c>
    </row>
    <row r="9" spans="1:14" x14ac:dyDescent="0.25">
      <c r="A9">
        <v>19364</v>
      </c>
      <c r="B9" t="s">
        <v>36</v>
      </c>
      <c r="C9" t="s">
        <v>39</v>
      </c>
      <c r="D9" s="3">
        <v>40000</v>
      </c>
      <c r="E9">
        <v>1</v>
      </c>
      <c r="F9" t="s">
        <v>13</v>
      </c>
      <c r="G9" t="s">
        <v>14</v>
      </c>
      <c r="H9" t="s">
        <v>15</v>
      </c>
      <c r="I9">
        <v>0</v>
      </c>
      <c r="J9" t="s">
        <v>16</v>
      </c>
      <c r="K9" t="s">
        <v>17</v>
      </c>
      <c r="L9">
        <v>43</v>
      </c>
      <c r="M9" t="str">
        <f t="shared" si="0"/>
        <v>Middle Aged</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25">
      <c r="A13">
        <v>12697</v>
      </c>
      <c r="B13" t="s">
        <v>37</v>
      </c>
      <c r="C13" t="s">
        <v>38</v>
      </c>
      <c r="D13" s="3">
        <v>90000</v>
      </c>
      <c r="E13">
        <v>0</v>
      </c>
      <c r="F13" t="s">
        <v>13</v>
      </c>
      <c r="G13" t="s">
        <v>21</v>
      </c>
      <c r="H13" t="s">
        <v>18</v>
      </c>
      <c r="I13">
        <v>4</v>
      </c>
      <c r="J13" t="s">
        <v>47</v>
      </c>
      <c r="K13" t="s">
        <v>24</v>
      </c>
      <c r="L13">
        <v>36</v>
      </c>
      <c r="M13" t="str">
        <f t="shared" si="0"/>
        <v>Middle Aged</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25">
      <c r="A23">
        <v>21564</v>
      </c>
      <c r="B23" t="s">
        <v>37</v>
      </c>
      <c r="C23" t="s">
        <v>38</v>
      </c>
      <c r="D23" s="3">
        <v>80000</v>
      </c>
      <c r="E23">
        <v>0</v>
      </c>
      <c r="F23" t="s">
        <v>13</v>
      </c>
      <c r="G23" t="s">
        <v>21</v>
      </c>
      <c r="H23" t="s">
        <v>15</v>
      </c>
      <c r="I23">
        <v>4</v>
      </c>
      <c r="J23" t="s">
        <v>47</v>
      </c>
      <c r="K23" t="s">
        <v>24</v>
      </c>
      <c r="L23">
        <v>35</v>
      </c>
      <c r="M23" t="str">
        <f t="shared" si="0"/>
        <v>Middle Aged</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Adolescence</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Adolescence</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Adolescence</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Adolescence</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Adolescence</v>
      </c>
      <c r="N52" t="s">
        <v>18</v>
      </c>
    </row>
    <row r="53" spans="1:14" x14ac:dyDescent="0.25">
      <c r="A53">
        <v>20619</v>
      </c>
      <c r="B53" t="s">
        <v>37</v>
      </c>
      <c r="C53" t="s">
        <v>39</v>
      </c>
      <c r="D53" s="3">
        <v>80000</v>
      </c>
      <c r="E53">
        <v>0</v>
      </c>
      <c r="F53" t="s">
        <v>13</v>
      </c>
      <c r="G53" t="s">
        <v>21</v>
      </c>
      <c r="H53" t="s">
        <v>18</v>
      </c>
      <c r="I53">
        <v>4</v>
      </c>
      <c r="J53" t="s">
        <v>47</v>
      </c>
      <c r="K53" t="s">
        <v>24</v>
      </c>
      <c r="L53">
        <v>35</v>
      </c>
      <c r="M53" t="str">
        <f t="shared" si="0"/>
        <v>Middle Aged</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25">
      <c r="A57">
        <v>28906</v>
      </c>
      <c r="B57" t="s">
        <v>36</v>
      </c>
      <c r="C57" t="s">
        <v>39</v>
      </c>
      <c r="D57" s="3">
        <v>80000</v>
      </c>
      <c r="E57">
        <v>4</v>
      </c>
      <c r="F57" t="s">
        <v>27</v>
      </c>
      <c r="G57" t="s">
        <v>21</v>
      </c>
      <c r="H57" t="s">
        <v>15</v>
      </c>
      <c r="I57">
        <v>2</v>
      </c>
      <c r="J57" t="s">
        <v>47</v>
      </c>
      <c r="K57" t="s">
        <v>17</v>
      </c>
      <c r="L57">
        <v>54</v>
      </c>
      <c r="M57" t="str">
        <f t="shared" si="0"/>
        <v>Middle Aged</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25">
      <c r="A65">
        <v>16185</v>
      </c>
      <c r="B65" t="s">
        <v>37</v>
      </c>
      <c r="C65" t="s">
        <v>39</v>
      </c>
      <c r="D65" s="3">
        <v>60000</v>
      </c>
      <c r="E65">
        <v>4</v>
      </c>
      <c r="F65" t="s">
        <v>13</v>
      </c>
      <c r="G65" t="s">
        <v>21</v>
      </c>
      <c r="H65" t="s">
        <v>15</v>
      </c>
      <c r="I65">
        <v>3</v>
      </c>
      <c r="J65" t="s">
        <v>47</v>
      </c>
      <c r="K65" t="s">
        <v>24</v>
      </c>
      <c r="L65">
        <v>41</v>
      </c>
      <c r="M65" t="str">
        <f t="shared" si="0"/>
        <v>Middle Aged</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Aged",IF(L67&lt;31,"Adolescence","Invalid")))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Adolescence</v>
      </c>
      <c r="N71" t="s">
        <v>18</v>
      </c>
    </row>
    <row r="72" spans="1:14" x14ac:dyDescent="0.25">
      <c r="A72">
        <v>14238</v>
      </c>
      <c r="B72" t="s">
        <v>36</v>
      </c>
      <c r="C72" t="s">
        <v>39</v>
      </c>
      <c r="D72" s="3">
        <v>120000</v>
      </c>
      <c r="E72">
        <v>0</v>
      </c>
      <c r="F72" t="s">
        <v>29</v>
      </c>
      <c r="G72" t="s">
        <v>21</v>
      </c>
      <c r="H72" t="s">
        <v>15</v>
      </c>
      <c r="I72">
        <v>4</v>
      </c>
      <c r="J72" t="s">
        <v>47</v>
      </c>
      <c r="K72" t="s">
        <v>24</v>
      </c>
      <c r="L72">
        <v>36</v>
      </c>
      <c r="M72" t="str">
        <f t="shared" si="1"/>
        <v>Middle Aged</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Adolescence</v>
      </c>
      <c r="N78" t="s">
        <v>18</v>
      </c>
    </row>
    <row r="79" spans="1:14" x14ac:dyDescent="0.25">
      <c r="A79">
        <v>27969</v>
      </c>
      <c r="B79" t="s">
        <v>36</v>
      </c>
      <c r="C79" t="s">
        <v>39</v>
      </c>
      <c r="D79" s="3">
        <v>80000</v>
      </c>
      <c r="E79">
        <v>0</v>
      </c>
      <c r="F79" t="s">
        <v>13</v>
      </c>
      <c r="G79" t="s">
        <v>21</v>
      </c>
      <c r="H79" t="s">
        <v>15</v>
      </c>
      <c r="I79">
        <v>2</v>
      </c>
      <c r="J79" t="s">
        <v>47</v>
      </c>
      <c r="K79" t="s">
        <v>24</v>
      </c>
      <c r="L79">
        <v>29</v>
      </c>
      <c r="M79" t="str">
        <f t="shared" si="1"/>
        <v>Adolescence</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Adolescence</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Adolescence</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Adolescence</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Adolescence</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Adolescence</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Adolescence</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Adolescence</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Adolescence</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Adolescence</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Adolescence</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25">
      <c r="A124">
        <v>12344</v>
      </c>
      <c r="B124" t="s">
        <v>37</v>
      </c>
      <c r="C124" t="s">
        <v>38</v>
      </c>
      <c r="D124" s="3">
        <v>80000</v>
      </c>
      <c r="E124">
        <v>0</v>
      </c>
      <c r="F124" t="s">
        <v>13</v>
      </c>
      <c r="G124" t="s">
        <v>21</v>
      </c>
      <c r="H124" t="s">
        <v>18</v>
      </c>
      <c r="I124">
        <v>3</v>
      </c>
      <c r="J124" t="s">
        <v>47</v>
      </c>
      <c r="K124" t="s">
        <v>24</v>
      </c>
      <c r="L124">
        <v>31</v>
      </c>
      <c r="M124" t="str">
        <f t="shared" si="1"/>
        <v>Middle Aged</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Aged",IF(L131&lt;31,"Adolescence","Invalid")))</f>
        <v>Middle Aged</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Adolescence</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25">
      <c r="A145">
        <v>16614</v>
      </c>
      <c r="B145" t="s">
        <v>36</v>
      </c>
      <c r="C145" t="s">
        <v>38</v>
      </c>
      <c r="D145" s="3">
        <v>80000</v>
      </c>
      <c r="E145">
        <v>0</v>
      </c>
      <c r="F145" t="s">
        <v>13</v>
      </c>
      <c r="G145" t="s">
        <v>21</v>
      </c>
      <c r="H145" t="s">
        <v>15</v>
      </c>
      <c r="I145">
        <v>3</v>
      </c>
      <c r="J145" t="s">
        <v>47</v>
      </c>
      <c r="K145" t="s">
        <v>24</v>
      </c>
      <c r="L145">
        <v>32</v>
      </c>
      <c r="M145" t="str">
        <f t="shared" si="2"/>
        <v>Middle Aged</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Adolescence</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Adolescence</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Adolescence</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25">
      <c r="A169">
        <v>14233</v>
      </c>
      <c r="B169" t="s">
        <v>37</v>
      </c>
      <c r="C169" t="s">
        <v>39</v>
      </c>
      <c r="D169" s="3">
        <v>100000</v>
      </c>
      <c r="E169">
        <v>0</v>
      </c>
      <c r="F169" t="s">
        <v>27</v>
      </c>
      <c r="G169" t="s">
        <v>28</v>
      </c>
      <c r="H169" t="s">
        <v>15</v>
      </c>
      <c r="I169">
        <v>3</v>
      </c>
      <c r="J169" t="s">
        <v>47</v>
      </c>
      <c r="K169" t="s">
        <v>24</v>
      </c>
      <c r="L169">
        <v>35</v>
      </c>
      <c r="M169" t="str">
        <f t="shared" si="2"/>
        <v>Middle Aged</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Adolescence</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Adolescence</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25">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47</v>
      </c>
      <c r="K190" t="s">
        <v>24</v>
      </c>
      <c r="L190">
        <v>32</v>
      </c>
      <c r="M190" t="str">
        <f t="shared" si="2"/>
        <v>Middle Aged</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25">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Aged",IF(L195&lt;31,"Adolescence","Invalid")))</f>
        <v>Middle Aged</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Adolescence</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25">
      <c r="A201">
        <v>11453</v>
      </c>
      <c r="B201" t="s">
        <v>37</v>
      </c>
      <c r="C201" t="s">
        <v>39</v>
      </c>
      <c r="D201" s="3">
        <v>80000</v>
      </c>
      <c r="E201">
        <v>0</v>
      </c>
      <c r="F201" t="s">
        <v>13</v>
      </c>
      <c r="G201" t="s">
        <v>21</v>
      </c>
      <c r="H201" t="s">
        <v>18</v>
      </c>
      <c r="I201">
        <v>3</v>
      </c>
      <c r="J201" t="s">
        <v>47</v>
      </c>
      <c r="K201" t="s">
        <v>24</v>
      </c>
      <c r="L201">
        <v>33</v>
      </c>
      <c r="M201" t="str">
        <f t="shared" si="3"/>
        <v>Middle Aged</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Adolescence</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25">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Adolescence</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Adolescence</v>
      </c>
      <c r="N214" t="s">
        <v>18</v>
      </c>
    </row>
    <row r="215" spans="1:14" x14ac:dyDescent="0.25">
      <c r="A215">
        <v>11451</v>
      </c>
      <c r="B215" t="s">
        <v>37</v>
      </c>
      <c r="C215" t="s">
        <v>39</v>
      </c>
      <c r="D215" s="3">
        <v>70000</v>
      </c>
      <c r="E215">
        <v>0</v>
      </c>
      <c r="F215" t="s">
        <v>13</v>
      </c>
      <c r="G215" t="s">
        <v>21</v>
      </c>
      <c r="H215" t="s">
        <v>18</v>
      </c>
      <c r="I215">
        <v>4</v>
      </c>
      <c r="J215" t="s">
        <v>47</v>
      </c>
      <c r="K215" t="s">
        <v>24</v>
      </c>
      <c r="L215">
        <v>31</v>
      </c>
      <c r="M215" t="str">
        <f t="shared" si="3"/>
        <v>Middle Aged</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Adolescence</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Adolescence</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25">
      <c r="A225">
        <v>18711</v>
      </c>
      <c r="B225" t="s">
        <v>37</v>
      </c>
      <c r="C225" t="s">
        <v>38</v>
      </c>
      <c r="D225" s="3">
        <v>70000</v>
      </c>
      <c r="E225">
        <v>5</v>
      </c>
      <c r="F225" t="s">
        <v>13</v>
      </c>
      <c r="G225" t="s">
        <v>21</v>
      </c>
      <c r="H225" t="s">
        <v>15</v>
      </c>
      <c r="I225">
        <v>4</v>
      </c>
      <c r="J225" t="s">
        <v>47</v>
      </c>
      <c r="K225" t="s">
        <v>24</v>
      </c>
      <c r="L225">
        <v>39</v>
      </c>
      <c r="M225" t="str">
        <f t="shared" si="3"/>
        <v>Middle Aged</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25">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Adolescence</v>
      </c>
      <c r="N235" t="s">
        <v>15</v>
      </c>
    </row>
    <row r="236" spans="1:14" x14ac:dyDescent="0.25">
      <c r="A236">
        <v>24611</v>
      </c>
      <c r="B236" t="s">
        <v>37</v>
      </c>
      <c r="C236" t="s">
        <v>39</v>
      </c>
      <c r="D236" s="3">
        <v>90000</v>
      </c>
      <c r="E236">
        <v>0</v>
      </c>
      <c r="F236" t="s">
        <v>13</v>
      </c>
      <c r="G236" t="s">
        <v>21</v>
      </c>
      <c r="H236" t="s">
        <v>18</v>
      </c>
      <c r="I236">
        <v>4</v>
      </c>
      <c r="J236" t="s">
        <v>47</v>
      </c>
      <c r="K236" t="s">
        <v>24</v>
      </c>
      <c r="L236">
        <v>35</v>
      </c>
      <c r="M236" t="str">
        <f t="shared" si="3"/>
        <v>Middle Aged</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Adolescence</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Adolescence</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Adolescence</v>
      </c>
      <c r="N245" t="s">
        <v>18</v>
      </c>
    </row>
    <row r="246" spans="1:14" x14ac:dyDescent="0.25">
      <c r="A246">
        <v>19057</v>
      </c>
      <c r="B246" t="s">
        <v>36</v>
      </c>
      <c r="C246" t="s">
        <v>38</v>
      </c>
      <c r="D246" s="3">
        <v>120000</v>
      </c>
      <c r="E246">
        <v>3</v>
      </c>
      <c r="F246" t="s">
        <v>13</v>
      </c>
      <c r="G246" t="s">
        <v>28</v>
      </c>
      <c r="H246" t="s">
        <v>18</v>
      </c>
      <c r="I246">
        <v>2</v>
      </c>
      <c r="J246" t="s">
        <v>47</v>
      </c>
      <c r="K246" t="s">
        <v>17</v>
      </c>
      <c r="L246">
        <v>52</v>
      </c>
      <c r="M246" t="str">
        <f t="shared" si="3"/>
        <v>Middle Aged</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25">
      <c r="A249">
        <v>21568</v>
      </c>
      <c r="B249" t="s">
        <v>36</v>
      </c>
      <c r="C249" t="s">
        <v>38</v>
      </c>
      <c r="D249" s="3">
        <v>100000</v>
      </c>
      <c r="E249">
        <v>0</v>
      </c>
      <c r="F249" t="s">
        <v>27</v>
      </c>
      <c r="G249" t="s">
        <v>28</v>
      </c>
      <c r="H249" t="s">
        <v>15</v>
      </c>
      <c r="I249">
        <v>4</v>
      </c>
      <c r="J249" t="s">
        <v>47</v>
      </c>
      <c r="K249" t="s">
        <v>24</v>
      </c>
      <c r="L249">
        <v>34</v>
      </c>
      <c r="M249" t="str">
        <f t="shared" si="3"/>
        <v>Middle Aged</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25">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Aged",IF(L259&lt;31,"Adolescence","Invalid")))</f>
        <v>Middle Aged</v>
      </c>
      <c r="N259" t="s">
        <v>15</v>
      </c>
    </row>
    <row r="260" spans="1:14" x14ac:dyDescent="0.25">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25">
      <c r="A265">
        <v>23419</v>
      </c>
      <c r="B265" t="s">
        <v>37</v>
      </c>
      <c r="C265" t="s">
        <v>38</v>
      </c>
      <c r="D265" s="3">
        <v>70000</v>
      </c>
      <c r="E265">
        <v>5</v>
      </c>
      <c r="F265" t="s">
        <v>13</v>
      </c>
      <c r="G265" t="s">
        <v>21</v>
      </c>
      <c r="H265" t="s">
        <v>15</v>
      </c>
      <c r="I265">
        <v>3</v>
      </c>
      <c r="J265" t="s">
        <v>47</v>
      </c>
      <c r="K265" t="s">
        <v>24</v>
      </c>
      <c r="L265">
        <v>39</v>
      </c>
      <c r="M265" t="str">
        <f t="shared" si="4"/>
        <v>Middle Aged</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Adolescence</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Adolescence</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Adolescence</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25">
      <c r="A280">
        <v>20625</v>
      </c>
      <c r="B280" t="s">
        <v>36</v>
      </c>
      <c r="C280" t="s">
        <v>39</v>
      </c>
      <c r="D280" s="3">
        <v>100000</v>
      </c>
      <c r="E280">
        <v>0</v>
      </c>
      <c r="F280" t="s">
        <v>27</v>
      </c>
      <c r="G280" t="s">
        <v>28</v>
      </c>
      <c r="H280" t="s">
        <v>15</v>
      </c>
      <c r="I280">
        <v>3</v>
      </c>
      <c r="J280" t="s">
        <v>47</v>
      </c>
      <c r="K280" t="s">
        <v>24</v>
      </c>
      <c r="L280">
        <v>35</v>
      </c>
      <c r="M280" t="str">
        <f t="shared" si="4"/>
        <v>Middle Aged</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25">
      <c r="A297">
        <v>21557</v>
      </c>
      <c r="B297" t="s">
        <v>37</v>
      </c>
      <c r="C297" t="s">
        <v>38</v>
      </c>
      <c r="D297" s="3">
        <v>110000</v>
      </c>
      <c r="E297">
        <v>0</v>
      </c>
      <c r="F297" t="s">
        <v>19</v>
      </c>
      <c r="G297" t="s">
        <v>28</v>
      </c>
      <c r="H297" t="s">
        <v>15</v>
      </c>
      <c r="I297">
        <v>3</v>
      </c>
      <c r="J297" t="s">
        <v>47</v>
      </c>
      <c r="K297" t="s">
        <v>24</v>
      </c>
      <c r="L297">
        <v>32</v>
      </c>
      <c r="M297" t="str">
        <f t="shared" si="4"/>
        <v>Middle Aged</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Adolescence</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25">
      <c r="A320">
        <v>19066</v>
      </c>
      <c r="B320" t="s">
        <v>36</v>
      </c>
      <c r="C320" t="s">
        <v>39</v>
      </c>
      <c r="D320" s="3">
        <v>130000</v>
      </c>
      <c r="E320">
        <v>4</v>
      </c>
      <c r="F320" t="s">
        <v>19</v>
      </c>
      <c r="G320" t="s">
        <v>21</v>
      </c>
      <c r="H320" t="s">
        <v>18</v>
      </c>
      <c r="I320">
        <v>3</v>
      </c>
      <c r="J320" t="s">
        <v>47</v>
      </c>
      <c r="K320" t="s">
        <v>17</v>
      </c>
      <c r="L320">
        <v>54</v>
      </c>
      <c r="M320" t="str">
        <f t="shared" si="4"/>
        <v>Middle Aged</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Aged",IF(L323&lt;31,"Adolescence","Invalid")))</f>
        <v>Middle Aged</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Adolescence</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25">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47</v>
      </c>
      <c r="K332" t="s">
        <v>24</v>
      </c>
      <c r="L332">
        <v>32</v>
      </c>
      <c r="M332" t="str">
        <f t="shared" si="5"/>
        <v>Middle Aged</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Adolescence</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Adolescence</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Adolescence</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Adolescence</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25">
      <c r="A357">
        <v>17238</v>
      </c>
      <c r="B357" t="s">
        <v>37</v>
      </c>
      <c r="C357" t="s">
        <v>39</v>
      </c>
      <c r="D357" s="3">
        <v>80000</v>
      </c>
      <c r="E357">
        <v>0</v>
      </c>
      <c r="F357" t="s">
        <v>13</v>
      </c>
      <c r="G357" t="s">
        <v>21</v>
      </c>
      <c r="H357" t="s">
        <v>15</v>
      </c>
      <c r="I357">
        <v>3</v>
      </c>
      <c r="J357" t="s">
        <v>47</v>
      </c>
      <c r="K357" t="s">
        <v>24</v>
      </c>
      <c r="L357">
        <v>32</v>
      </c>
      <c r="M357" t="str">
        <f t="shared" si="5"/>
        <v>Middle Aged</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47</v>
      </c>
      <c r="K361" t="s">
        <v>24</v>
      </c>
      <c r="L361">
        <v>30</v>
      </c>
      <c r="M361" t="str">
        <f t="shared" si="5"/>
        <v>Adolescence</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Adolescence</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25">
      <c r="A372">
        <v>17324</v>
      </c>
      <c r="B372" t="s">
        <v>36</v>
      </c>
      <c r="C372" t="s">
        <v>38</v>
      </c>
      <c r="D372" s="3">
        <v>100000</v>
      </c>
      <c r="E372">
        <v>4</v>
      </c>
      <c r="F372" t="s">
        <v>13</v>
      </c>
      <c r="G372" t="s">
        <v>21</v>
      </c>
      <c r="H372" t="s">
        <v>15</v>
      </c>
      <c r="I372">
        <v>1</v>
      </c>
      <c r="J372" t="s">
        <v>47</v>
      </c>
      <c r="K372" t="s">
        <v>24</v>
      </c>
      <c r="L372">
        <v>46</v>
      </c>
      <c r="M372" t="str">
        <f t="shared" si="5"/>
        <v>Middle Aged</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Adolescence</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25">
      <c r="A382">
        <v>13620</v>
      </c>
      <c r="B382" t="s">
        <v>37</v>
      </c>
      <c r="C382" t="s">
        <v>39</v>
      </c>
      <c r="D382" s="3">
        <v>70000</v>
      </c>
      <c r="E382">
        <v>0</v>
      </c>
      <c r="F382" t="s">
        <v>13</v>
      </c>
      <c r="G382" t="s">
        <v>21</v>
      </c>
      <c r="H382" t="s">
        <v>18</v>
      </c>
      <c r="I382">
        <v>3</v>
      </c>
      <c r="J382" t="s">
        <v>47</v>
      </c>
      <c r="K382" t="s">
        <v>24</v>
      </c>
      <c r="L382">
        <v>30</v>
      </c>
      <c r="M382" t="str">
        <f t="shared" si="5"/>
        <v>Adolescence</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47</v>
      </c>
      <c r="K384" t="s">
        <v>17</v>
      </c>
      <c r="L384">
        <v>53</v>
      </c>
      <c r="M384" t="str">
        <f t="shared" si="5"/>
        <v>Middle Aged</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Adolescence</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Aged",IF(L387&lt;31,"Adolescence","Invalid")))</f>
        <v>Middle Aged</v>
      </c>
      <c r="N387" t="s">
        <v>18</v>
      </c>
    </row>
    <row r="388" spans="1:14" x14ac:dyDescent="0.25">
      <c r="A388">
        <v>28957</v>
      </c>
      <c r="B388" t="s">
        <v>37</v>
      </c>
      <c r="C388" t="s">
        <v>38</v>
      </c>
      <c r="D388" s="3">
        <v>120000</v>
      </c>
      <c r="E388">
        <v>0</v>
      </c>
      <c r="F388" t="s">
        <v>29</v>
      </c>
      <c r="G388" t="s">
        <v>21</v>
      </c>
      <c r="H388" t="s">
        <v>15</v>
      </c>
      <c r="I388">
        <v>4</v>
      </c>
      <c r="J388" t="s">
        <v>47</v>
      </c>
      <c r="K388" t="s">
        <v>24</v>
      </c>
      <c r="L388">
        <v>34</v>
      </c>
      <c r="M388" t="str">
        <f t="shared" si="6"/>
        <v>Middle Aged</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25">
      <c r="A402">
        <v>25792</v>
      </c>
      <c r="B402" t="s">
        <v>37</v>
      </c>
      <c r="C402" t="s">
        <v>38</v>
      </c>
      <c r="D402" s="3">
        <v>110000</v>
      </c>
      <c r="E402">
        <v>3</v>
      </c>
      <c r="F402" t="s">
        <v>13</v>
      </c>
      <c r="G402" t="s">
        <v>28</v>
      </c>
      <c r="H402" t="s">
        <v>15</v>
      </c>
      <c r="I402">
        <v>4</v>
      </c>
      <c r="J402" t="s">
        <v>47</v>
      </c>
      <c r="K402" t="s">
        <v>17</v>
      </c>
      <c r="L402">
        <v>53</v>
      </c>
      <c r="M402" t="str">
        <f t="shared" si="6"/>
        <v>Middle Aged</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25">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25">
      <c r="A424">
        <v>24901</v>
      </c>
      <c r="B424" t="s">
        <v>37</v>
      </c>
      <c r="C424" t="s">
        <v>39</v>
      </c>
      <c r="D424" s="3">
        <v>110000</v>
      </c>
      <c r="E424">
        <v>0</v>
      </c>
      <c r="F424" t="s">
        <v>19</v>
      </c>
      <c r="G424" t="s">
        <v>28</v>
      </c>
      <c r="H424" t="s">
        <v>18</v>
      </c>
      <c r="I424">
        <v>3</v>
      </c>
      <c r="J424" t="s">
        <v>47</v>
      </c>
      <c r="K424" t="s">
        <v>24</v>
      </c>
      <c r="L424">
        <v>32</v>
      </c>
      <c r="M424" t="str">
        <f t="shared" si="6"/>
        <v>Middle Aged</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Adolescence</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Adolescence</v>
      </c>
      <c r="N433" t="s">
        <v>15</v>
      </c>
    </row>
    <row r="434" spans="1:14" x14ac:dyDescent="0.25">
      <c r="A434">
        <v>21891</v>
      </c>
      <c r="B434" t="s">
        <v>36</v>
      </c>
      <c r="C434" t="s">
        <v>38</v>
      </c>
      <c r="D434" s="3">
        <v>110000</v>
      </c>
      <c r="E434">
        <v>0</v>
      </c>
      <c r="F434" t="s">
        <v>27</v>
      </c>
      <c r="G434" t="s">
        <v>28</v>
      </c>
      <c r="H434" t="s">
        <v>15</v>
      </c>
      <c r="I434">
        <v>3</v>
      </c>
      <c r="J434" t="s">
        <v>47</v>
      </c>
      <c r="K434" t="s">
        <v>24</v>
      </c>
      <c r="L434">
        <v>34</v>
      </c>
      <c r="M434" t="str">
        <f t="shared" si="6"/>
        <v>Middle Aged</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Adolescence</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Adolescence</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25">
      <c r="A442">
        <v>21561</v>
      </c>
      <c r="B442" t="s">
        <v>37</v>
      </c>
      <c r="C442" t="s">
        <v>39</v>
      </c>
      <c r="D442" s="3">
        <v>90000</v>
      </c>
      <c r="E442">
        <v>0</v>
      </c>
      <c r="F442" t="s">
        <v>13</v>
      </c>
      <c r="G442" t="s">
        <v>21</v>
      </c>
      <c r="H442" t="s">
        <v>18</v>
      </c>
      <c r="I442">
        <v>3</v>
      </c>
      <c r="J442" t="s">
        <v>47</v>
      </c>
      <c r="K442" t="s">
        <v>24</v>
      </c>
      <c r="L442">
        <v>34</v>
      </c>
      <c r="M442" t="str">
        <f t="shared" si="6"/>
        <v>Middle Aged</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25">
      <c r="A448">
        <v>14278</v>
      </c>
      <c r="B448" t="s">
        <v>36</v>
      </c>
      <c r="C448" t="s">
        <v>38</v>
      </c>
      <c r="D448" s="3">
        <v>130000</v>
      </c>
      <c r="E448">
        <v>0</v>
      </c>
      <c r="F448" t="s">
        <v>31</v>
      </c>
      <c r="G448" t="s">
        <v>28</v>
      </c>
      <c r="H448" t="s">
        <v>15</v>
      </c>
      <c r="I448">
        <v>1</v>
      </c>
      <c r="J448" t="s">
        <v>47</v>
      </c>
      <c r="K448" t="s">
        <v>24</v>
      </c>
      <c r="L448">
        <v>48</v>
      </c>
      <c r="M448" t="str">
        <f t="shared" si="6"/>
        <v>Middle Aged</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Aged",IF(L451&lt;31,"Adolescence","Invalid")))</f>
        <v>Middle Aged</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47</v>
      </c>
      <c r="K460" t="s">
        <v>24</v>
      </c>
      <c r="L460">
        <v>32</v>
      </c>
      <c r="M460" t="str">
        <f t="shared" si="7"/>
        <v>Middle Aged</v>
      </c>
      <c r="N460" t="s">
        <v>15</v>
      </c>
    </row>
    <row r="461" spans="1:14" x14ac:dyDescent="0.25">
      <c r="A461">
        <v>21554</v>
      </c>
      <c r="B461" t="s">
        <v>37</v>
      </c>
      <c r="C461" t="s">
        <v>38</v>
      </c>
      <c r="D461" s="3">
        <v>80000</v>
      </c>
      <c r="E461">
        <v>0</v>
      </c>
      <c r="F461" t="s">
        <v>13</v>
      </c>
      <c r="G461" t="s">
        <v>21</v>
      </c>
      <c r="H461" t="s">
        <v>18</v>
      </c>
      <c r="I461">
        <v>3</v>
      </c>
      <c r="J461" t="s">
        <v>47</v>
      </c>
      <c r="K461" t="s">
        <v>24</v>
      </c>
      <c r="L461">
        <v>33</v>
      </c>
      <c r="M461" t="str">
        <f t="shared" si="7"/>
        <v>Middle Aged</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Adolescence</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25">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25">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25">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Adolescence</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Adolescence</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25">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Aged",IF(L515&lt;31,"Adolescence","Invalid")))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25">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Adolescence</v>
      </c>
      <c r="N530" t="s">
        <v>18</v>
      </c>
    </row>
    <row r="531" spans="1:14" x14ac:dyDescent="0.25">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Adolescence</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Adolescence</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25">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47</v>
      </c>
      <c r="K537" t="s">
        <v>32</v>
      </c>
      <c r="L537">
        <v>41</v>
      </c>
      <c r="M537" t="str">
        <f t="shared" si="8"/>
        <v>Middle Aged</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Adolescence</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Adolescence</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25">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47</v>
      </c>
      <c r="K554" t="s">
        <v>32</v>
      </c>
      <c r="L554">
        <v>54</v>
      </c>
      <c r="M554" t="str">
        <f t="shared" si="8"/>
        <v>Middle Aged</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25">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Adolescence</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Adolescence</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25">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Adolescence</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25">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Aged",IF(L579&lt;31,"Adolescence","Invalid")))</f>
        <v>Middle Aged</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25">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Adolescence</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25">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25">
      <c r="A590">
        <v>16871</v>
      </c>
      <c r="B590" t="s">
        <v>36</v>
      </c>
      <c r="C590" t="s">
        <v>38</v>
      </c>
      <c r="D590" s="3">
        <v>90000</v>
      </c>
      <c r="E590">
        <v>2</v>
      </c>
      <c r="F590" t="s">
        <v>27</v>
      </c>
      <c r="G590" t="s">
        <v>21</v>
      </c>
      <c r="H590" t="s">
        <v>15</v>
      </c>
      <c r="I590">
        <v>1</v>
      </c>
      <c r="J590" t="s">
        <v>47</v>
      </c>
      <c r="K590" t="s">
        <v>32</v>
      </c>
      <c r="L590">
        <v>51</v>
      </c>
      <c r="M590" t="str">
        <f t="shared" si="9"/>
        <v>Middle Aged</v>
      </c>
      <c r="N590" t="s">
        <v>15</v>
      </c>
    </row>
    <row r="591" spans="1:14" x14ac:dyDescent="0.25">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25">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Adolescence</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25">
      <c r="A609">
        <v>16145</v>
      </c>
      <c r="B609" t="s">
        <v>37</v>
      </c>
      <c r="C609" t="s">
        <v>38</v>
      </c>
      <c r="D609" s="3">
        <v>70000</v>
      </c>
      <c r="E609">
        <v>5</v>
      </c>
      <c r="F609" t="s">
        <v>31</v>
      </c>
      <c r="G609" t="s">
        <v>21</v>
      </c>
      <c r="H609" t="s">
        <v>15</v>
      </c>
      <c r="I609">
        <v>3</v>
      </c>
      <c r="J609" t="s">
        <v>47</v>
      </c>
      <c r="K609" t="s">
        <v>32</v>
      </c>
      <c r="L609">
        <v>46</v>
      </c>
      <c r="M609" t="str">
        <f t="shared" si="9"/>
        <v>Middle Aged</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Adolescence</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Adolescence</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Adolescence</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Adolescence</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Adolescence</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Adolescence</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Aged",IF(L643&lt;31,"Adolescence","Invalid")))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25">
      <c r="A646">
        <v>23368</v>
      </c>
      <c r="B646" t="s">
        <v>36</v>
      </c>
      <c r="C646" t="s">
        <v>38</v>
      </c>
      <c r="D646" s="3">
        <v>60000</v>
      </c>
      <c r="E646">
        <v>5</v>
      </c>
      <c r="F646" t="s">
        <v>13</v>
      </c>
      <c r="G646" t="s">
        <v>14</v>
      </c>
      <c r="H646" t="s">
        <v>15</v>
      </c>
      <c r="I646">
        <v>3</v>
      </c>
      <c r="J646" t="s">
        <v>47</v>
      </c>
      <c r="K646" t="s">
        <v>32</v>
      </c>
      <c r="L646">
        <v>41</v>
      </c>
      <c r="M646" t="str">
        <f t="shared" si="10"/>
        <v>Middle Aged</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25">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25">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Adolescence</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25">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25">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Adolescence</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Adolescence</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Adolescence</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Adolescence</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Adolescence</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Adolescence</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Adolescence</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25">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Aged",IF(L707&lt;31,"Adolescence","Invalid")))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25">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25">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Adolescence</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Adolescence</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Adolescence</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25">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Adolescence</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Adolescence</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25">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25">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Adolescence</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25">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Adolescence</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25">
      <c r="A768">
        <v>14608</v>
      </c>
      <c r="B768" t="s">
        <v>36</v>
      </c>
      <c r="C768" t="s">
        <v>39</v>
      </c>
      <c r="D768" s="3">
        <v>50000</v>
      </c>
      <c r="E768">
        <v>4</v>
      </c>
      <c r="F768" t="s">
        <v>13</v>
      </c>
      <c r="G768" t="s">
        <v>14</v>
      </c>
      <c r="H768" t="s">
        <v>15</v>
      </c>
      <c r="I768">
        <v>3</v>
      </c>
      <c r="J768" t="s">
        <v>47</v>
      </c>
      <c r="K768" t="s">
        <v>32</v>
      </c>
      <c r="L768">
        <v>42</v>
      </c>
      <c r="M768" t="str">
        <f t="shared" si="11"/>
        <v>Middle Aged</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Aged",IF(L771&lt;31,"Adolescence","Invalid")))</f>
        <v>Middle Aged</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25">
      <c r="A777">
        <v>29030</v>
      </c>
      <c r="B777" t="s">
        <v>36</v>
      </c>
      <c r="C777" t="s">
        <v>39</v>
      </c>
      <c r="D777" s="3">
        <v>70000</v>
      </c>
      <c r="E777">
        <v>2</v>
      </c>
      <c r="F777" t="s">
        <v>29</v>
      </c>
      <c r="G777" t="s">
        <v>14</v>
      </c>
      <c r="H777" t="s">
        <v>15</v>
      </c>
      <c r="I777">
        <v>2</v>
      </c>
      <c r="J777" t="s">
        <v>47</v>
      </c>
      <c r="K777" t="s">
        <v>32</v>
      </c>
      <c r="L777">
        <v>54</v>
      </c>
      <c r="M777" t="str">
        <f t="shared" si="12"/>
        <v>Middle Aged</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Adolescence</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25">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Adolescence</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Adolescence</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Adolescence</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Adolescence</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Adolescence</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Adolescence</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Adolescence</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25">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47</v>
      </c>
      <c r="K815" t="s">
        <v>32</v>
      </c>
      <c r="L815">
        <v>53</v>
      </c>
      <c r="M815" t="str">
        <f t="shared" si="12"/>
        <v>Middle Aged</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Adolescence</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Adolescence</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Adolescence</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Adolescence</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Aged",IF(L835&lt;31,"Adolescence","Invalid")))</f>
        <v>Middle Aged</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Adolescence</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25">
      <c r="A842">
        <v>11233</v>
      </c>
      <c r="B842" t="s">
        <v>36</v>
      </c>
      <c r="C842" t="s">
        <v>39</v>
      </c>
      <c r="D842" s="3">
        <v>70000</v>
      </c>
      <c r="E842">
        <v>4</v>
      </c>
      <c r="F842" t="s">
        <v>19</v>
      </c>
      <c r="G842" t="s">
        <v>21</v>
      </c>
      <c r="H842" t="s">
        <v>15</v>
      </c>
      <c r="I842">
        <v>2</v>
      </c>
      <c r="J842" t="s">
        <v>47</v>
      </c>
      <c r="K842" t="s">
        <v>32</v>
      </c>
      <c r="L842">
        <v>53</v>
      </c>
      <c r="M842" t="str">
        <f t="shared" si="13"/>
        <v>Middle Aged</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25">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Adolescence</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Adolescence</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25">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25">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25">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Adolescence</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Aged",IF(L899&lt;31,"Adolescence","Invalid")))</f>
        <v>Adolescence</v>
      </c>
      <c r="N899" t="s">
        <v>18</v>
      </c>
    </row>
    <row r="900" spans="1:14" x14ac:dyDescent="0.25">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47</v>
      </c>
      <c r="K901" t="s">
        <v>32</v>
      </c>
      <c r="L901">
        <v>46</v>
      </c>
      <c r="M901" t="str">
        <f t="shared" si="14"/>
        <v>Middle Aged</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25">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25">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25">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25">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25">
      <c r="A932">
        <v>19543</v>
      </c>
      <c r="B932" t="s">
        <v>36</v>
      </c>
      <c r="C932" t="s">
        <v>39</v>
      </c>
      <c r="D932" s="3">
        <v>70000</v>
      </c>
      <c r="E932">
        <v>5</v>
      </c>
      <c r="F932" t="s">
        <v>31</v>
      </c>
      <c r="G932" t="s">
        <v>21</v>
      </c>
      <c r="H932" t="s">
        <v>18</v>
      </c>
      <c r="I932">
        <v>3</v>
      </c>
      <c r="J932" t="s">
        <v>47</v>
      </c>
      <c r="K932" t="s">
        <v>32</v>
      </c>
      <c r="L932">
        <v>47</v>
      </c>
      <c r="M932" t="str">
        <f t="shared" si="14"/>
        <v>Middle Aged</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Adolescence</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Adolescence</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Adolescence</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25">
      <c r="A951">
        <v>28056</v>
      </c>
      <c r="B951" t="s">
        <v>36</v>
      </c>
      <c r="C951" t="s">
        <v>39</v>
      </c>
      <c r="D951" s="3">
        <v>70000</v>
      </c>
      <c r="E951">
        <v>2</v>
      </c>
      <c r="F951" t="s">
        <v>29</v>
      </c>
      <c r="G951" t="s">
        <v>14</v>
      </c>
      <c r="H951" t="s">
        <v>15</v>
      </c>
      <c r="I951">
        <v>2</v>
      </c>
      <c r="J951" t="s">
        <v>47</v>
      </c>
      <c r="K951" t="s">
        <v>32</v>
      </c>
      <c r="L951">
        <v>53</v>
      </c>
      <c r="M951" t="str">
        <f t="shared" si="14"/>
        <v>Middle Aged</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Adolescence</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Adolescence</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Aged",IF(L963&lt;31,"Adolescence","Invalid")))</f>
        <v>Old</v>
      </c>
      <c r="N963" t="s">
        <v>18</v>
      </c>
    </row>
    <row r="964" spans="1:14" x14ac:dyDescent="0.25">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Adolescence</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25">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25">
      <c r="A982">
        <v>18594</v>
      </c>
      <c r="B982" t="s">
        <v>37</v>
      </c>
      <c r="C982" t="s">
        <v>38</v>
      </c>
      <c r="D982" s="3">
        <v>80000</v>
      </c>
      <c r="E982">
        <v>3</v>
      </c>
      <c r="F982" t="s">
        <v>13</v>
      </c>
      <c r="G982" t="s">
        <v>14</v>
      </c>
      <c r="H982" t="s">
        <v>15</v>
      </c>
      <c r="I982">
        <v>3</v>
      </c>
      <c r="J982" t="s">
        <v>47</v>
      </c>
      <c r="K982" t="s">
        <v>32</v>
      </c>
      <c r="L982">
        <v>40</v>
      </c>
      <c r="M982" t="str">
        <f t="shared" si="15"/>
        <v>Middle Aged</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25">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47</v>
      </c>
      <c r="K991" t="s">
        <v>32</v>
      </c>
      <c r="L991">
        <v>42</v>
      </c>
      <c r="M991" t="str">
        <f t="shared" si="15"/>
        <v>Middle Aged</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Adolescence</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25">
      <c r="A1001">
        <v>12121</v>
      </c>
      <c r="B1001" t="s">
        <v>37</v>
      </c>
      <c r="C1001" t="s">
        <v>39</v>
      </c>
      <c r="D1001" s="3">
        <v>60000</v>
      </c>
      <c r="E1001">
        <v>3</v>
      </c>
      <c r="F1001" t="s">
        <v>27</v>
      </c>
      <c r="G1001" t="s">
        <v>21</v>
      </c>
      <c r="H1001" t="s">
        <v>15</v>
      </c>
      <c r="I1001">
        <v>2</v>
      </c>
      <c r="J1001" t="s">
        <v>47</v>
      </c>
      <c r="K1001" t="s">
        <v>32</v>
      </c>
      <c r="L1001">
        <v>53</v>
      </c>
      <c r="M1001" t="str">
        <f t="shared" si="15"/>
        <v>Middle Aged</v>
      </c>
      <c r="N1001" t="s">
        <v>15</v>
      </c>
    </row>
  </sheetData>
  <autoFilter ref="A1:N1001" xr:uid="{7B6B1224-DEA3-4DF7-9946-BEF7B17857A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82533-01A8-499F-BAC4-2334A9602D08}">
  <dimension ref="A3:E41"/>
  <sheetViews>
    <sheetView workbookViewId="0">
      <selection activeCell="B24" sqref="B24"/>
    </sheetView>
  </sheetViews>
  <sheetFormatPr defaultRowHeight="15" x14ac:dyDescent="0.25"/>
  <cols>
    <col min="1" max="1" width="22.85546875" bestFit="1" customWidth="1"/>
    <col min="2" max="2" width="16.28515625" bestFit="1" customWidth="1"/>
    <col min="3" max="3" width="5.5703125" bestFit="1" customWidth="1"/>
    <col min="4" max="4" width="9" bestFit="1" customWidth="1"/>
    <col min="5" max="5" width="11.28515625" bestFit="1" customWidth="1"/>
    <col min="6" max="6" width="5.5703125" bestFit="1" customWidth="1"/>
    <col min="7" max="7" width="9" bestFit="1" customWidth="1"/>
    <col min="8" max="8" width="11.28515625" bestFit="1" customWidth="1"/>
  </cols>
  <sheetData>
    <row r="3" spans="1:4" x14ac:dyDescent="0.25">
      <c r="A3" s="4" t="s">
        <v>44</v>
      </c>
      <c r="B3" s="4" t="s">
        <v>45</v>
      </c>
    </row>
    <row r="4" spans="1:4" x14ac:dyDescent="0.25">
      <c r="A4" s="4" t="s">
        <v>42</v>
      </c>
      <c r="B4" t="s">
        <v>18</v>
      </c>
      <c r="C4" t="s">
        <v>15</v>
      </c>
      <c r="D4" t="s">
        <v>43</v>
      </c>
    </row>
    <row r="5" spans="1:4" x14ac:dyDescent="0.25">
      <c r="A5" s="5" t="s">
        <v>38</v>
      </c>
      <c r="B5" s="3">
        <v>66666.666666666672</v>
      </c>
      <c r="C5" s="3">
        <v>35000</v>
      </c>
      <c r="D5" s="3">
        <v>48571.428571428572</v>
      </c>
    </row>
    <row r="6" spans="1:4" x14ac:dyDescent="0.25">
      <c r="A6" s="5" t="s">
        <v>39</v>
      </c>
      <c r="B6" s="3">
        <v>22500</v>
      </c>
      <c r="C6" s="3">
        <v>33333.333333333336</v>
      </c>
      <c r="D6" s="3">
        <v>30000</v>
      </c>
    </row>
    <row r="7" spans="1:4" x14ac:dyDescent="0.25">
      <c r="A7" s="5" t="s">
        <v>43</v>
      </c>
      <c r="B7" s="3">
        <v>41428.571428571428</v>
      </c>
      <c r="C7" s="3">
        <v>33846.153846153844</v>
      </c>
      <c r="D7" s="3">
        <v>36500</v>
      </c>
    </row>
    <row r="19" spans="1:4" x14ac:dyDescent="0.25">
      <c r="A19" s="4" t="s">
        <v>46</v>
      </c>
      <c r="B19" s="4" t="s">
        <v>45</v>
      </c>
    </row>
    <row r="20" spans="1:4" x14ac:dyDescent="0.25">
      <c r="A20" s="4" t="s">
        <v>42</v>
      </c>
      <c r="B20" t="s">
        <v>18</v>
      </c>
      <c r="C20" t="s">
        <v>15</v>
      </c>
      <c r="D20" t="s">
        <v>43</v>
      </c>
    </row>
    <row r="21" spans="1:4" x14ac:dyDescent="0.25">
      <c r="A21" s="5" t="s">
        <v>16</v>
      </c>
      <c r="B21" s="6">
        <v>3</v>
      </c>
      <c r="C21" s="6">
        <v>11</v>
      </c>
      <c r="D21" s="6">
        <v>14</v>
      </c>
    </row>
    <row r="22" spans="1:4" x14ac:dyDescent="0.25">
      <c r="A22" s="5" t="s">
        <v>26</v>
      </c>
      <c r="B22" s="6">
        <v>1</v>
      </c>
      <c r="C22" s="6">
        <v>2</v>
      </c>
      <c r="D22" s="6">
        <v>3</v>
      </c>
    </row>
    <row r="23" spans="1:4" x14ac:dyDescent="0.25">
      <c r="A23" s="5" t="s">
        <v>22</v>
      </c>
      <c r="B23" s="6">
        <v>1</v>
      </c>
      <c r="C23" s="6"/>
      <c r="D23" s="6">
        <v>1</v>
      </c>
    </row>
    <row r="24" spans="1:4" x14ac:dyDescent="0.25">
      <c r="A24" s="5" t="s">
        <v>47</v>
      </c>
      <c r="B24" s="6">
        <v>2</v>
      </c>
      <c r="C24" s="6"/>
      <c r="D24" s="6">
        <v>2</v>
      </c>
    </row>
    <row r="25" spans="1:4" x14ac:dyDescent="0.25">
      <c r="A25" s="5" t="s">
        <v>43</v>
      </c>
      <c r="B25" s="6">
        <v>7</v>
      </c>
      <c r="C25" s="6">
        <v>13</v>
      </c>
      <c r="D25" s="6">
        <v>20</v>
      </c>
    </row>
    <row r="36" spans="1:5" x14ac:dyDescent="0.25">
      <c r="A36" s="4" t="s">
        <v>46</v>
      </c>
      <c r="B36" s="4" t="s">
        <v>45</v>
      </c>
    </row>
    <row r="37" spans="1:5" x14ac:dyDescent="0.25">
      <c r="B37" t="s">
        <v>15</v>
      </c>
      <c r="D37" t="s">
        <v>50</v>
      </c>
      <c r="E37" t="s">
        <v>43</v>
      </c>
    </row>
    <row r="38" spans="1:5" x14ac:dyDescent="0.25">
      <c r="A38" s="4" t="s">
        <v>42</v>
      </c>
      <c r="B38" t="s">
        <v>38</v>
      </c>
      <c r="C38" t="s">
        <v>39</v>
      </c>
    </row>
    <row r="39" spans="1:5" x14ac:dyDescent="0.25">
      <c r="A39" s="5" t="s">
        <v>48</v>
      </c>
      <c r="B39" s="6">
        <v>4</v>
      </c>
      <c r="C39" s="6">
        <v>8</v>
      </c>
      <c r="D39" s="6">
        <v>12</v>
      </c>
      <c r="E39" s="6">
        <v>12</v>
      </c>
    </row>
    <row r="40" spans="1:5" x14ac:dyDescent="0.25">
      <c r="A40" s="5" t="s">
        <v>49</v>
      </c>
      <c r="B40" s="6"/>
      <c r="C40" s="6">
        <v>1</v>
      </c>
      <c r="D40" s="6">
        <v>1</v>
      </c>
      <c r="E40" s="6">
        <v>1</v>
      </c>
    </row>
    <row r="41" spans="1:5" x14ac:dyDescent="0.25">
      <c r="A41" s="5" t="s">
        <v>43</v>
      </c>
      <c r="B41" s="6">
        <v>4</v>
      </c>
      <c r="C41" s="6">
        <v>9</v>
      </c>
      <c r="D41" s="6">
        <v>13</v>
      </c>
      <c r="E41" s="6">
        <v>13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2ABB7-E17E-4A02-AABA-25E43DE0E656}">
  <dimension ref="A1:O6"/>
  <sheetViews>
    <sheetView showGridLines="0" tabSelected="1" workbookViewId="0">
      <selection activeCell="B30" sqref="B30"/>
    </sheetView>
  </sheetViews>
  <sheetFormatPr defaultRowHeight="15" x14ac:dyDescent="0.25"/>
  <cols>
    <col min="15" max="15" width="18.5703125" customWidth="1"/>
  </cols>
  <sheetData>
    <row r="1" spans="1:15" ht="15" customHeight="1" x14ac:dyDescent="0.25">
      <c r="A1" s="7" t="s">
        <v>51</v>
      </c>
      <c r="B1" s="7"/>
      <c r="C1" s="7"/>
      <c r="D1" s="7"/>
      <c r="E1" s="7"/>
      <c r="F1" s="7"/>
      <c r="G1" s="7"/>
      <c r="H1" s="7"/>
      <c r="I1" s="7"/>
      <c r="J1" s="7"/>
      <c r="K1" s="7"/>
      <c r="L1" s="7"/>
      <c r="M1" s="7"/>
      <c r="N1" s="7"/>
      <c r="O1" s="7"/>
    </row>
    <row r="2" spans="1:15" ht="15" customHeight="1" x14ac:dyDescent="0.25">
      <c r="A2" s="7"/>
      <c r="B2" s="7"/>
      <c r="C2" s="7"/>
      <c r="D2" s="7"/>
      <c r="E2" s="7"/>
      <c r="F2" s="7"/>
      <c r="G2" s="7"/>
      <c r="H2" s="7"/>
      <c r="I2" s="7"/>
      <c r="J2" s="7"/>
      <c r="K2" s="7"/>
      <c r="L2" s="7"/>
      <c r="M2" s="7"/>
      <c r="N2" s="7"/>
      <c r="O2" s="7"/>
    </row>
    <row r="3" spans="1:15" ht="15" customHeight="1" x14ac:dyDescent="0.25">
      <c r="A3" s="7"/>
      <c r="B3" s="7"/>
      <c r="C3" s="7"/>
      <c r="D3" s="7"/>
      <c r="E3" s="7"/>
      <c r="F3" s="7"/>
      <c r="G3" s="7"/>
      <c r="H3" s="7"/>
      <c r="I3" s="7"/>
      <c r="J3" s="7"/>
      <c r="K3" s="7"/>
      <c r="L3" s="7"/>
      <c r="M3" s="7"/>
      <c r="N3" s="7"/>
      <c r="O3" s="7"/>
    </row>
    <row r="4" spans="1:15" ht="15" customHeight="1" x14ac:dyDescent="0.25">
      <c r="A4" s="7"/>
      <c r="B4" s="7"/>
      <c r="C4" s="7"/>
      <c r="D4" s="7"/>
      <c r="E4" s="7"/>
      <c r="F4" s="7"/>
      <c r="G4" s="7"/>
      <c r="H4" s="7"/>
      <c r="I4" s="7"/>
      <c r="J4" s="7"/>
      <c r="K4" s="7"/>
      <c r="L4" s="7"/>
      <c r="M4" s="7"/>
      <c r="N4" s="7"/>
      <c r="O4" s="7"/>
    </row>
    <row r="5" spans="1:15" ht="15" customHeight="1" x14ac:dyDescent="0.25">
      <c r="A5" s="7"/>
      <c r="B5" s="7"/>
      <c r="C5" s="7"/>
      <c r="D5" s="7"/>
      <c r="E5" s="7"/>
      <c r="F5" s="7"/>
      <c r="G5" s="7"/>
      <c r="H5" s="7"/>
      <c r="I5" s="7"/>
      <c r="J5" s="7"/>
      <c r="K5" s="7"/>
      <c r="L5" s="7"/>
      <c r="M5" s="7"/>
      <c r="N5" s="7"/>
      <c r="O5" s="7"/>
    </row>
    <row r="6" spans="1:15" ht="15" customHeight="1" x14ac:dyDescent="0.2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Dan</cp:lastModifiedBy>
  <dcterms:created xsi:type="dcterms:W3CDTF">2022-03-18T02:50:57Z</dcterms:created>
  <dcterms:modified xsi:type="dcterms:W3CDTF">2026-01-13T20:51:46Z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27c0209-0049-4fa3-802d-b18399cd3e3b_Enabled">
    <vt:lpwstr>true</vt:lpwstr>
  </property>
  <property fmtid="{D5CDD505-2E9C-101B-9397-08002B2CF9AE}" pid="3" name="MSIP_Label_827c0209-0049-4fa3-802d-b18399cd3e3b_SetDate">
    <vt:lpwstr>2026-01-13T01:03:17Z</vt:lpwstr>
  </property>
  <property fmtid="{D5CDD505-2E9C-101B-9397-08002B2CF9AE}" pid="4" name="MSIP_Label_827c0209-0049-4fa3-802d-b18399cd3e3b_Method">
    <vt:lpwstr>Standard</vt:lpwstr>
  </property>
  <property fmtid="{D5CDD505-2E9C-101B-9397-08002B2CF9AE}" pid="5" name="MSIP_Label_827c0209-0049-4fa3-802d-b18399cd3e3b_Name">
    <vt:lpwstr>Public - test</vt:lpwstr>
  </property>
  <property fmtid="{D5CDD505-2E9C-101B-9397-08002B2CF9AE}" pid="6" name="MSIP_Label_827c0209-0049-4fa3-802d-b18399cd3e3b_SiteId">
    <vt:lpwstr>296ae229-6f10-4f4a-a0d6-f390ed73d8e3</vt:lpwstr>
  </property>
  <property fmtid="{D5CDD505-2E9C-101B-9397-08002B2CF9AE}" pid="7" name="MSIP_Label_827c0209-0049-4fa3-802d-b18399cd3e3b_ActionId">
    <vt:lpwstr>11de749e-1cd8-4789-b74a-f686f22c13c8</vt:lpwstr>
  </property>
  <property fmtid="{D5CDD505-2E9C-101B-9397-08002B2CF9AE}" pid="8" name="MSIP_Label_827c0209-0049-4fa3-802d-b18399cd3e3b_ContentBits">
    <vt:lpwstr>0</vt:lpwstr>
  </property>
  <property fmtid="{D5CDD505-2E9C-101B-9397-08002B2CF9AE}" pid="9" name="MSIP_Label_827c0209-0049-4fa3-802d-b18399cd3e3b_Tag">
    <vt:lpwstr>10, 3, 0, 1</vt:lpwstr>
  </property>
</Properties>
</file>